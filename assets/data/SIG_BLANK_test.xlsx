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adisonlee/Documents/GitHub/solution-ThirdPartyRisk/assets/data/"/>
    </mc:Choice>
  </mc:AlternateContent>
  <xr:revisionPtr revIDLastSave="0" documentId="8_{66DFB5FC-1B2B-6F42-9594-E69A45E8DEE8}" xr6:coauthVersionLast="47" xr6:coauthVersionMax="47" xr10:uidLastSave="{00000000-0000-0000-0000-000000000000}"/>
  <bookViews>
    <workbookView xWindow="3360" yWindow="1000" windowWidth="27240" windowHeight="16440" xr2:uid="{108856C2-64EF-0249-92AB-819F59DD2C80}"/>
  </bookViews>
  <sheets>
    <sheet name="Content Library" sheetId="1" r:id="rId1"/>
  </sheets>
  <externalReferences>
    <externalReference r:id="rId2"/>
  </externalReferences>
  <definedNames>
    <definedName name="Include">'[1]SMT Drops'!$A$2:$A$4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1" l="1"/>
  <c r="C11" i="1"/>
  <c r="J10" i="1"/>
  <c r="C10" i="1"/>
  <c r="J9" i="1"/>
  <c r="C9" i="1"/>
  <c r="J8" i="1"/>
  <c r="C8" i="1"/>
  <c r="J7" i="1"/>
  <c r="C7" i="1"/>
  <c r="J6" i="1"/>
  <c r="C6" i="1"/>
  <c r="J5" i="1"/>
  <c r="C5" i="1"/>
  <c r="J4" i="1"/>
  <c r="C4" i="1"/>
  <c r="J3" i="1"/>
  <c r="C3" i="1"/>
  <c r="J2"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Baker</author>
  </authors>
  <commentList>
    <comment ref="Y2" authorId="0" shapeId="0" xr:uid="{E6D4A7E1-326E-5543-A018-FF6AB8EEE027}">
      <text>
        <r>
          <rPr>
            <b/>
            <sz val="9"/>
            <color indexed="81"/>
            <rFont val="Tahoma"/>
            <family val="2"/>
          </rPr>
          <t>Recommended Documentation: Enterprise Risk Governance Plan| Policies|Standards|Procedures|Risk Committee Charter</t>
        </r>
      </text>
    </comment>
    <comment ref="Y3" authorId="0" shapeId="0" xr:uid="{7F07CF43-4F2C-1142-8A5C-EDB20FE426BE}">
      <text>
        <r>
          <rPr>
            <b/>
            <sz val="9"/>
            <color indexed="81"/>
            <rFont val="Tahoma"/>
            <family val="2"/>
          </rPr>
          <t>Recommended Documentation: Enterprise Risk Governance Plan| Policies|Standards|Procedures|Risk Committee Charter</t>
        </r>
      </text>
    </comment>
    <comment ref="Y4" authorId="0" shapeId="0" xr:uid="{BF06EE5B-C180-B743-B34F-C17480901F1F}">
      <text>
        <r>
          <rPr>
            <b/>
            <sz val="9"/>
            <color indexed="81"/>
            <rFont val="Tahoma"/>
            <family val="2"/>
          </rPr>
          <t>Recommended Documentation: Enterprise Risk Governance Plan| Policies|Standards|Procedures|Risk Committee Charter</t>
        </r>
      </text>
    </comment>
    <comment ref="Y5" authorId="0" shapeId="0" xr:uid="{70EF22A7-852A-BB47-9457-79B86A19481F}">
      <text>
        <r>
          <rPr>
            <b/>
            <sz val="9"/>
            <color indexed="81"/>
            <rFont val="Tahoma"/>
            <family val="2"/>
          </rPr>
          <t>Recommended Documentation: Enterprise Risk Governance Plan| Policies|Standards|Procedures|Risk Committee Charter</t>
        </r>
      </text>
    </comment>
    <comment ref="Y6" authorId="0" shapeId="0" xr:uid="{15637974-8351-AF41-BD57-44E77BEB671E}">
      <text>
        <r>
          <rPr>
            <b/>
            <sz val="9"/>
            <color indexed="81"/>
            <rFont val="Tahoma"/>
            <family val="2"/>
          </rPr>
          <t>Recommended Documentation: Enterprise Risk Governance Plan| Policies|Standards|Procedures|Risk Committee Charter</t>
        </r>
      </text>
    </comment>
    <comment ref="Y7" authorId="0" shapeId="0" xr:uid="{0425BDD7-0418-664C-B26E-5910299EF81A}">
      <text>
        <r>
          <rPr>
            <b/>
            <sz val="9"/>
            <color indexed="81"/>
            <rFont val="Tahoma"/>
            <family val="2"/>
          </rPr>
          <t>Recommended Documentation: Enterprise Risk Governance Plan| Policies|Standards|Procedures|Risk Committee Charter</t>
        </r>
      </text>
    </comment>
    <comment ref="Y8" authorId="0" shapeId="0" xr:uid="{26967BAA-F687-2849-A02B-B8D7DF2AA803}">
      <text>
        <r>
          <rPr>
            <b/>
            <sz val="9"/>
            <color indexed="81"/>
            <rFont val="Tahoma"/>
            <family val="2"/>
          </rPr>
          <t>Recommended Documentation: Enterprise Risk Governance Plan| Policies|Standards|Procedures|Risk Committee Charter</t>
        </r>
      </text>
    </comment>
    <comment ref="Y9" authorId="0" shapeId="0" xr:uid="{5BD8718F-17B6-194E-8F41-4A506C955C62}">
      <text>
        <r>
          <rPr>
            <b/>
            <sz val="9"/>
            <color indexed="81"/>
            <rFont val="Tahoma"/>
            <family val="2"/>
          </rPr>
          <t>Recommended Documentation: Enterprise Risk Governance Plan| Policies|Standards|Procedures|Risk Committee Charter</t>
        </r>
      </text>
    </comment>
    <comment ref="Y10" authorId="0" shapeId="0" xr:uid="{B3F3096C-7C4C-4C47-B279-E99810C40BE4}">
      <text>
        <r>
          <rPr>
            <b/>
            <sz val="9"/>
            <color indexed="81"/>
            <rFont val="Tahoma"/>
            <family val="2"/>
          </rPr>
          <t>Recommended Documentation: Defined IT systems requirements with list of the systems|applications|critical business functions for related service</t>
        </r>
      </text>
    </comment>
    <comment ref="Y11" authorId="0" shapeId="0" xr:uid="{17F039CB-78DD-9C45-8786-D41E53B574C6}">
      <text>
        <r>
          <rPr>
            <b/>
            <sz val="9"/>
            <color indexed="81"/>
            <rFont val="Tahoma"/>
            <family val="2"/>
          </rPr>
          <t>Recommended Documentation: Enterprise Risk Governance Plan| Policies|Standards|Procedures|Risk Committee Charter</t>
        </r>
      </text>
    </comment>
  </commentList>
</comments>
</file>

<file path=xl/sharedStrings.xml><?xml version="1.0" encoding="utf-8"?>
<sst xmlns="http://schemas.openxmlformats.org/spreadsheetml/2006/main" count="462" uniqueCount="168">
  <si>
    <t xml:space="preserve">  Include/Exclude</t>
  </si>
  <si>
    <t>Serial No</t>
  </si>
  <si>
    <t>Ques Num</t>
  </si>
  <si>
    <t>Jump To:  
Question/Request</t>
  </si>
  <si>
    <t>Master Response</t>
  </si>
  <si>
    <t>Additional Information</t>
  </si>
  <si>
    <t>Importance</t>
  </si>
  <si>
    <t>Control Family</t>
  </si>
  <si>
    <t>Control Attribute</t>
  </si>
  <si>
    <t>Scope Level</t>
  </si>
  <si>
    <t>Q Depth</t>
  </si>
  <si>
    <t>Scoping Level</t>
  </si>
  <si>
    <t>SIG 2024 Delta</t>
  </si>
  <si>
    <t>Scoring for Compare</t>
  </si>
  <si>
    <t>Remediation</t>
  </si>
  <si>
    <t>Future</t>
  </si>
  <si>
    <t>Risk Domain</t>
  </si>
  <si>
    <t>Subject Matter Expert Name</t>
  </si>
  <si>
    <t>Subject Matter Expert Notes</t>
  </si>
  <si>
    <t>Domain Objective</t>
  </si>
  <si>
    <t>Risk Statement</t>
  </si>
  <si>
    <t>Control Objective</t>
  </si>
  <si>
    <t>Control</t>
  </si>
  <si>
    <t>Test Procedure</t>
  </si>
  <si>
    <t>Documentation Reference</t>
  </si>
  <si>
    <t>Shared Assessments SCA 2024</t>
  </si>
  <si>
    <t>ISO 27001:2022</t>
  </si>
  <si>
    <t>ISO 27002:2022</t>
  </si>
  <si>
    <t>ISO/IEC 27701 PIMS A 2019</t>
  </si>
  <si>
    <t>NIST Artificial Intelligence 100-1 2023</t>
  </si>
  <si>
    <t>NIST SP-800-161r1 2022</t>
  </si>
  <si>
    <t>NIST SP-800-53r5 Sep 2020</t>
  </si>
  <si>
    <t>NIST Cybersecurity Framework Apr 2018</t>
  </si>
  <si>
    <t>NIST Privacy Framework Jan 2020</t>
  </si>
  <si>
    <t>Cybersecurity Maturity Model Certification (CMMC) 2.0 2021</t>
  </si>
  <si>
    <t>CIS Critical Security Controls v8 2021</t>
  </si>
  <si>
    <t>EBA Guidelines on Outsourcing Arrangements Feb 2019</t>
  </si>
  <si>
    <t>EU GDPR 2016/679</t>
  </si>
  <si>
    <t>Interagency Guidance on Third-Party Relationships: Risk Management 2023</t>
  </si>
  <si>
    <t>FedRamp May 2021</t>
  </si>
  <si>
    <t>FFIEC CAT Tool May 2017</t>
  </si>
  <si>
    <t>FFIEC IT Exam Handbook: AIO Jun 2021</t>
  </si>
  <si>
    <t>FFIEC IT Exam Handbook: Business Continuity Nov 2019</t>
  </si>
  <si>
    <t>FFIEC IT Exam Handbook: Mgmt Nov 2015</t>
  </si>
  <si>
    <t>FFIEC IT Exam Handbook: Outsourcing Jun 2004</t>
  </si>
  <si>
    <t>HIPAA Administrative Simplification Mar 2013</t>
  </si>
  <si>
    <t>NYDFS 23 NYCRR 500 Mar 2017</t>
  </si>
  <si>
    <t>CSA CAIQ 3.1 Apr 2020</t>
  </si>
  <si>
    <t>CSA Cloud Controls Matrix v4</t>
  </si>
  <si>
    <t>ISA 62443-4-1 and 2 2018</t>
  </si>
  <si>
    <t>North American Electric Reliability Corporation (NERC)</t>
  </si>
  <si>
    <t>PCI DSS 4.0 March 2022</t>
  </si>
  <si>
    <t>ESG Reference</t>
  </si>
  <si>
    <t>Custom Policy #1</t>
  </si>
  <si>
    <t>Custom Policy #2</t>
  </si>
  <si>
    <t>From Scoping</t>
  </si>
  <si>
    <t>Is there a formalized risk governance policy approved by management that defines the Enterprise Risk Management program requirements?</t>
  </si>
  <si>
    <t>Risk Management Principles</t>
  </si>
  <si>
    <t>Policies, Standards and Procedures</t>
  </si>
  <si>
    <t/>
  </si>
  <si>
    <t>A. Enterprise Risk Management</t>
  </si>
  <si>
    <t>Organizations should implement and maintain a formalized enterprise risk governance plan and a continuous risk assessment process that will enable the organization's board and senior management to identify, quantify and prioritize risks based on the risk acceptance levels relevant to the organization.</t>
  </si>
  <si>
    <t>The absence of an enterprise risk management and risk governance program may result in the organization's inability to recognize, classify, and react to internal or external risks.</t>
  </si>
  <si>
    <t>An organization's enterprise risk governance program should include formal documentation of the organization's policies and processes for managing and monitoring risks within the internal and external environment of the enterprise.</t>
  </si>
  <si>
    <t>An organization implements and maintains a formalized enterprise risk governance program aligned with industry leading practices for cybersecurity and privacy principles.</t>
  </si>
  <si>
    <t>&lt;blank&gt;</t>
  </si>
  <si>
    <t>A.1</t>
  </si>
  <si>
    <t>A.1 Enterprise Risk Governance|A.2 Risk Assessment and Treatment</t>
  </si>
  <si>
    <t>CA-1 POLICY AND PROCEDURES|CA-2 CONTROL ASSESSMENTS|PL-1 POLICY AND PROCEDURES|PM-10 AUTHORIZATION PROCESS|PM-12 INSIDER THREAT PROGRAM|PM-14 TESTING, TRAINING, AND MONITORING|PM-7 ENTERPRISE ARCHITECTURE|PM-9 RISK MANAGEMENT STRATEGY|PS-2 POSITION RISK DESIGNATION</t>
  </si>
  <si>
    <t>ID.GV-4: Governance and risk management processes address cybersecurity risks|ID.RA-3: Threats, both internal and external, are identified and documented|ID.RA-4: Potential business impacts and likelihoods are identified|ID.RA-5: Threats, vulnerabilities, likelihoods, and impacts are used to determine risk|ID.RM-1: Risk management processes are established, managed, and agreed to by organizational stakeholders|ID.RM-2: Organizational risk tolerance is determined and clearly expressed</t>
  </si>
  <si>
    <t>GV.RM-P1|ID.DE-P1</t>
  </si>
  <si>
    <t>Title I - Proportionality: group application and institutional protection schemes - 18|Title I - Proportionality: group application and institutional protection schemes - 20|Title I - Proportionality: group application and institutional protection schemes - 21|Title II - Outsourcing arrangements - 31.c.i.|Title III - Governance framework - 32|Title III - Governance framework - 36.d.|Title III - Governance framework - 36.e.|Title III - Governance framework - 44.a.</t>
  </si>
  <si>
    <t>RA-1|RA-3</t>
  </si>
  <si>
    <t>12-1|17-2a|2-1c|2-8b</t>
  </si>
  <si>
    <t>1.A.1|1.A.2|1.A.3|1.B.1|3.B|3.C.3|3.C.6</t>
  </si>
  <si>
    <t>Tier 1-Objective 3 - Obj 3-3.a</t>
  </si>
  <si>
    <t>164.306|164.308</t>
  </si>
  <si>
    <t>500.02(b)|500.02(b)(1)|500.03(m)|500.09(a)</t>
  </si>
  <si>
    <t>GRC-02.1</t>
  </si>
  <si>
    <t>GRC-02</t>
  </si>
  <si>
    <t>6.1 Processes and mechanisms for developing and maintaining secure systems and software are defined and understood.</t>
  </si>
  <si>
    <t>Does the risk governance program include risk management policies, procedures, and internal controls?</t>
  </si>
  <si>
    <t>A.1 Enterprise Risk Governance</t>
  </si>
  <si>
    <t>ID.RA-5: Threats, vulnerabilities, likelihoods, and impacts are used to determine risk|ID.RM-1: Risk management processes are established, managed, and agreed to by organizational stakeholders|ID.RM-2: Organizational risk tolerance is determined and clearly expressed</t>
  </si>
  <si>
    <t>Title I - Proportionality: group application and institutional protection schemes - 20|Title II - Outsourcing arrangements - 31.c.i.|Title III - Governance framework - 32|Title III - Governance framework - 36.d.</t>
  </si>
  <si>
    <t>RA-1</t>
  </si>
  <si>
    <t>D1.G.SP.B.1|D1.RM.RMP.B.1</t>
  </si>
  <si>
    <t>12-1|2-1e|2-8a|2-8b</t>
  </si>
  <si>
    <t>1.B.1|3.C.3</t>
  </si>
  <si>
    <t>500.02(b)(1)</t>
  </si>
  <si>
    <t>Does the risk governance program include range of assets to include: people, processes, data, and technology?</t>
  </si>
  <si>
    <t>Risk Governance Plan</t>
  </si>
  <si>
    <t>CA-1 POLICY AND PROCEDURES|PM-10 AUTHORIZATION PROCESS|PM-12 INSIDER THREAT PROGRAM|PM-14 TESTING, TRAINING, AND MONITORING|PM-7 ENTERPRISE ARCHITECTURE|PM-9 RISK MANAGEMENT STRATEGY</t>
  </si>
  <si>
    <t>ID.RA-5: Threats, vulnerabilities, likelihoods, and impacts are used to determine risk</t>
  </si>
  <si>
    <t>GV.RM-P3|ID.DE-P1</t>
  </si>
  <si>
    <t>Title I - Proportionality: group application and institutional protection schemes - 20|Title III - Governance framework - 32|Title V - Guidelines on outsourcing addressed to competent authorities - 114.b.</t>
  </si>
  <si>
    <t>D1.RM.RMP.B.1</t>
  </si>
  <si>
    <t>12-1d|2-8a|2-8b</t>
  </si>
  <si>
    <t>3.C.3</t>
  </si>
  <si>
    <t>CEK-07.1</t>
  </si>
  <si>
    <t>CEK-07</t>
  </si>
  <si>
    <t>Does the risk governance program include a range of internal and external threats: malicious, natural, accidental, cyber, business changes, or transaction volume?</t>
  </si>
  <si>
    <t>Question Text Delta</t>
  </si>
  <si>
    <t>A.1 Enterprise Risk Governance|A.2 Risk Assessment and Treatment|A.4 IT Governance and Operational Risk</t>
  </si>
  <si>
    <t>CA-1 POLICY AND PROCEDURES|PL-2 SYSTEM SECURITY AND PRIVACY PLANS|PM-10 AUTHORIZATION PROCESS|PM-12 INSIDER THREAT PROGRAM|PM-14 TESTING, TRAINING, AND MONITORING|PM-7 ENTERPRISE ARCHITECTURE|PM-9 RISK MANAGEMENT STRATEGY|RA-3 RISK ASSESSMENT</t>
  </si>
  <si>
    <t>ID.GV-4: Governance and risk management processes address cybersecurity risks|ID.RA-3: Threats, both internal and external, are identified and documented|ID.RA-5: Threats, vulnerabilities, likelihoods, and impacts are used to determine risk</t>
  </si>
  <si>
    <t>Title I - Proportionality: group application and institutional protection schemes - 20</t>
  </si>
  <si>
    <t>D1.RM.RMP.B.1|D2.TI.TII.B.3</t>
  </si>
  <si>
    <t>12-1d|13-6|2-8b</t>
  </si>
  <si>
    <t>Objective 5 - 2.a.</t>
  </si>
  <si>
    <t>Tier 1-Objective 1 - Obj 1-3.b</t>
  </si>
  <si>
    <t>500.02(b)(1)|500.09(b)(1)</t>
  </si>
  <si>
    <t>CIP-003-8|CIP-007-6</t>
  </si>
  <si>
    <t>Does the risk governance program include risk scenarios and intelligence guidelines that address threats, vulnerabilities, likelihoods, and impacts that could impact people, processes, technologies, and facilities?</t>
  </si>
  <si>
    <t>An organization implements and maintains a formalized enterprise risk governance program aligned with industry leading practices for cybersecurity and privacy principles inclusive of risk scenarios that address threats, vulnerabilities, likelihoods, and impacts that could impact people, processes, technologies, and facilities.</t>
  </si>
  <si>
    <t>5.7 Threat intelligence|8.8 Management of technical vulnerabilities</t>
  </si>
  <si>
    <t>CA-1 POLICY AND PROCEDURES|PE-23 FACILITY LOCATION|PL-2 SYSTEM SECURITY AND PRIVACY PLANS|PM-10 AUTHORIZATION PROCESS|PM-14 TESTING, TRAINING, AND MONITORING|PM-7 ENTERPRISE ARCHITECTURE|PM-9 RISK MANAGEMENT STRATEGY|RA-3 RISK ASSESSMENT|SI-13 PREDICTABLE FAILURE PREVENTION|SI-4 SYSTEM MONITORING</t>
  </si>
  <si>
    <t>ID.RA-4: Potential business impacts and likelihoods are identified|ID.RA-5: Threats, vulnerabilities, likelihoods, and impacts are used to determine risk</t>
  </si>
  <si>
    <t>GV.RM-P3|ID.RA-P1</t>
  </si>
  <si>
    <t>Title I - Proportionality: group application and institutional protection schemes - 20|Title II - Outsourcing arrangements - 31.d.</t>
  </si>
  <si>
    <t>D1.G.Ov.B.5|D1.RM.RMP.B.1|D2.TI.TII.B.3</t>
  </si>
  <si>
    <t>12-1|12-5a|2-8a|2-8b</t>
  </si>
  <si>
    <t>Objective 5 - 2.a.|Objective 5 - 2.d.|Objective 5 - 4</t>
  </si>
  <si>
    <t>3.A.1</t>
  </si>
  <si>
    <t>6.3 Security vulnerabilities are identified and addressed.|11.3 External and internal vulnerabilities are regularly identified, prioritized, and addressed.</t>
  </si>
  <si>
    <t>Does the governing body define the accountabilities of management and obligations of the Board of Directors for risk management?</t>
  </si>
  <si>
    <t>Board Structure, Independence and Accountability</t>
  </si>
  <si>
    <t>An organization implements and maintains a governing body that defines the accountabilities of management and obligations of the Board of Directors.</t>
  </si>
  <si>
    <t>A.1 Enterprise Risk Governance|G.5 IT Operational Processes</t>
  </si>
  <si>
    <t>Title III - Governance framework - 36.d.|Title III - Governance framework - 36.e.</t>
  </si>
  <si>
    <t>2-1a</t>
  </si>
  <si>
    <t>1.A.1|1.A.2|1.B.1</t>
  </si>
  <si>
    <t>GRC-06.1</t>
  </si>
  <si>
    <t>GRC-06</t>
  </si>
  <si>
    <t>Is the risk governance program approved by senior management and/or board of directors?</t>
  </si>
  <si>
    <t>An organization implements and maintains a formalized enterprise risk governance program approved by senior management and/or board of directors.</t>
  </si>
  <si>
    <t>CA-1 POLICY AND PROCEDURES|PM-14 TESTING, TRAINING, AND MONITORING|PM-29 RISK MANAGEMENT PROGRAM LEADERSHIP ROLES</t>
  </si>
  <si>
    <t>ID.RM-1: Risk management processes are established, managed, and agreed to by organizational stakeholders</t>
  </si>
  <si>
    <t>Title III - Governance framework - 36.d.|Title III - Governance framework - 36.e.|Title III - Governance framework - 36.f.</t>
  </si>
  <si>
    <t>2-1a|2-3a|2-3c</t>
  </si>
  <si>
    <t>1.A.1|1.B.1|3.C.6</t>
  </si>
  <si>
    <t>Is training provided to employees regarding risk expectations and their obligations?</t>
  </si>
  <si>
    <t>Education, Training and Awareness</t>
  </si>
  <si>
    <t>An organization implements and maintains a formalized enterprise risk governance program that includes training &amp; awareness associated with risk expectations and obligations.</t>
  </si>
  <si>
    <t>CA-1 POLICY AND PROCEDURES|PM-14 TESTING, TRAINING, AND MONITORING|PM-28 RISK FRAMING|PM-29 RISK MANAGEMENT PROGRAM LEADERSHIP ROLES</t>
  </si>
  <si>
    <t>ID.RM-1: Risk management processes are established, managed, and agreed to by organizational stakeholders|PR.AT-1: All users are informed and trained</t>
  </si>
  <si>
    <t>ID.DE-P1</t>
  </si>
  <si>
    <t>Title III - Governance framework - 32|Title III - Governance framework - 36.d.</t>
  </si>
  <si>
    <t>AT-4</t>
  </si>
  <si>
    <t>2-1a|2-1d|2-3d|2-8b</t>
  </si>
  <si>
    <t>1.A.2</t>
  </si>
  <si>
    <t>Does the risk governance program include the identification of the systems/products/services that support organizational priorities?</t>
  </si>
  <si>
    <t>Asset Identification</t>
  </si>
  <si>
    <t>An organization implements and maintains a program for managing enterprise risk associated with all system components, services, and asset management.</t>
  </si>
  <si>
    <t>A.4</t>
  </si>
  <si>
    <t>A.4 IT Governance and Operational Risk</t>
  </si>
  <si>
    <t>PM-11 MISSION AND BUSINESS PROCESS DEFINITION |PM-28 RISK FRAMING|PM-29 RISK MANAGEMENT PROGRAM LEADERSHIP ROLES|RA-2 SECURITY CATEGORIZATION|SI-13 PREDICTABLE FAILURE PREVENTION</t>
  </si>
  <si>
    <t>ID.RM-3: The organization's determination of risk tolerance is informed by its role in critical infrastructure and sector specific risk analysis</t>
  </si>
  <si>
    <t>GV.RM-P3</t>
  </si>
  <si>
    <t>CM-8</t>
  </si>
  <si>
    <t>12-1|12-1c|2-8a|2-8b</t>
  </si>
  <si>
    <t>CIP-002-5.1a</t>
  </si>
  <si>
    <t>Does the organization's risk management program include processes that analyze risk at the enterprise level keeping stakeholders and senior management informed of risk management decisions?</t>
  </si>
  <si>
    <t>An organization implements and maintains a procedure to analyze risk and communicate to decisions of the risk management program to senior management.</t>
  </si>
  <si>
    <t>PL-1 POLICY AND PROCEDURES|PM-10 AUTHORIZATION PROCESS|PM-28 RISK FRAMING|PM-29 RISK MANAGEMENT PROGRAM LEADERSHIP ROLES|RA-3 RISK ASSESSMENT</t>
  </si>
  <si>
    <t>ID.RM-1: Risk management processes are established, managed, and agreed to by organizational stakeholders|ID.RM-3: The organization's determination of risk tolerance is informed by its role in critical infrastructure and sector specific risk analysis</t>
  </si>
  <si>
    <t>2-1c|2-1g|2-1h</t>
  </si>
  <si>
    <t>CEK-07.1|GRC-02.1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</si>
</sst>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0"/>
      <color rgb="FF000000"/>
      <name val="Arial"/>
      <family val="2"/>
    </font>
    <font>
      <b/>
      <sz val="11"/>
      <color theme="0"/>
      <name val="Aptos Narrow"/>
      <family val="2"/>
      <scheme val="minor"/>
    </font>
    <font>
      <sz val="11"/>
      <name val="Aptos Narrow"/>
      <family val="2"/>
      <scheme val="minor"/>
    </font>
    <font>
      <sz val="11"/>
      <color theme="1"/>
      <name val="Aptos Narrow"/>
      <family val="2"/>
      <scheme val="minor"/>
    </font>
    <font>
      <sz val="11"/>
      <color theme="0"/>
      <name val="Aptos Narrow"/>
      <family val="2"/>
      <scheme val="minor"/>
    </font>
    <font>
      <sz val="11"/>
      <color rgb="FF756762"/>
      <name val="Aptos Narrow"/>
      <family val="2"/>
      <scheme val="minor"/>
    </font>
    <font>
      <b/>
      <sz val="9"/>
      <color indexed="81"/>
      <name val="Tahoma"/>
      <family val="2"/>
    </font>
  </fonts>
  <fills count="4">
    <fill>
      <patternFill patternType="none"/>
    </fill>
    <fill>
      <patternFill patternType="gray125"/>
    </fill>
    <fill>
      <patternFill patternType="solid">
        <fgColor rgb="FF006680"/>
        <bgColor indexed="22"/>
      </patternFill>
    </fill>
    <fill>
      <patternFill patternType="solid">
        <fgColor rgb="FFA7A9AC"/>
        <bgColor indexed="64"/>
      </patternFill>
    </fill>
  </fills>
  <borders count="12">
    <border>
      <left/>
      <right/>
      <top/>
      <bottom/>
      <diagonal/>
    </border>
    <border>
      <left style="thin">
        <color auto="1"/>
      </left>
      <right style="thin">
        <color rgb="FFEDDFDA"/>
      </right>
      <top style="thin">
        <color auto="1"/>
      </top>
      <bottom/>
      <diagonal/>
    </border>
    <border>
      <left/>
      <right/>
      <top style="thin">
        <color auto="1"/>
      </top>
      <bottom/>
      <diagonal/>
    </border>
    <border>
      <left style="thin">
        <color rgb="FFEDDFDA"/>
      </left>
      <right style="thin">
        <color rgb="FFEDDFDA"/>
      </right>
      <top style="thin">
        <color auto="1"/>
      </top>
      <bottom/>
      <diagonal/>
    </border>
    <border>
      <left/>
      <right style="thin">
        <color rgb="FFEDDFDA"/>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indexed="64"/>
      </left>
      <right style="thin">
        <color indexed="64"/>
      </right>
      <top style="thin">
        <color indexed="64"/>
      </top>
      <bottom/>
      <diagonal/>
    </border>
    <border>
      <left style="thin">
        <color rgb="FFEDDFDA"/>
      </left>
      <right/>
      <top style="thin">
        <color auto="1"/>
      </top>
      <bottom/>
      <diagonal/>
    </border>
    <border>
      <left style="thin">
        <color theme="0"/>
      </left>
      <right style="thin">
        <color rgb="FFEDDFDA"/>
      </right>
      <top style="thin">
        <color auto="1"/>
      </top>
      <bottom/>
      <diagonal/>
    </border>
    <border>
      <left style="thin">
        <color rgb="FFEDDFDA"/>
      </left>
      <right style="thin">
        <color theme="0"/>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24">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0" fontId="2" fillId="3" borderId="11" xfId="1" applyFont="1" applyFill="1" applyBorder="1" applyAlignment="1" applyProtection="1">
      <alignment horizontal="center" vertical="center" wrapText="1"/>
      <protection locked="0"/>
    </xf>
    <xf numFmtId="0" fontId="5" fillId="3" borderId="11" xfId="1" applyFont="1" applyFill="1" applyBorder="1" applyAlignment="1" applyProtection="1">
      <alignment horizontal="center" vertical="center" wrapText="1"/>
      <protection locked="0"/>
    </xf>
    <xf numFmtId="0" fontId="3" fillId="0" borderId="11" xfId="0" applyFont="1" applyBorder="1" applyAlignment="1">
      <alignment horizontal="center" vertical="center"/>
    </xf>
    <xf numFmtId="0" fontId="3" fillId="0" borderId="11" xfId="1" applyFont="1" applyBorder="1" applyAlignment="1">
      <alignment horizontal="center" vertical="center"/>
    </xf>
    <xf numFmtId="0" fontId="3" fillId="0" borderId="11" xfId="0" applyFont="1" applyBorder="1" applyAlignment="1">
      <alignment vertical="center" wrapText="1"/>
    </xf>
    <xf numFmtId="0" fontId="3" fillId="0" borderId="11" xfId="0" applyFont="1" applyBorder="1" applyAlignment="1">
      <alignment horizontal="center" vertical="center" wrapText="1"/>
    </xf>
    <xf numFmtId="0" fontId="6" fillId="0" borderId="11" xfId="1" applyFont="1" applyBorder="1" applyAlignment="1">
      <alignment horizontal="center" vertical="center" wrapText="1"/>
    </xf>
    <xf numFmtId="0" fontId="3" fillId="0" borderId="11" xfId="0" applyFont="1" applyBorder="1"/>
    <xf numFmtId="0" fontId="3" fillId="0" borderId="11" xfId="0" applyFont="1" applyBorder="1" applyAlignment="1">
      <alignment horizontal="left" vertical="center" wrapText="1"/>
    </xf>
    <xf numFmtId="49" fontId="3" fillId="0" borderId="11" xfId="0" applyNumberFormat="1" applyFont="1" applyBorder="1" applyAlignment="1">
      <alignment horizontal="center" vertical="center" wrapText="1"/>
    </xf>
    <xf numFmtId="0" fontId="3" fillId="3" borderId="11" xfId="0" applyFont="1" applyFill="1" applyBorder="1" applyAlignment="1" applyProtection="1">
      <alignment horizontal="center" vertical="center" wrapText="1"/>
      <protection locked="0"/>
    </xf>
  </cellXfs>
  <cellStyles count="2">
    <cellStyle name="Normal" xfId="0" builtinId="0"/>
    <cellStyle name="Normal 5" xfId="1" xr:uid="{46806283-8BA0-D749-87FE-ED774196794B}"/>
  </cellStyles>
  <dxfs count="5">
    <dxf>
      <font>
        <color theme="0"/>
      </font>
      <fill>
        <patternFill>
          <bgColor rgb="FF756762"/>
        </patternFill>
      </fill>
    </dxf>
    <dxf>
      <font>
        <color theme="0"/>
      </font>
      <fill>
        <patternFill>
          <bgColor rgb="FFBC6225"/>
        </patternFill>
      </fill>
    </dxf>
    <dxf>
      <font>
        <color theme="0"/>
      </font>
      <fill>
        <patternFill>
          <bgColor rgb="FF000000"/>
        </patternFill>
      </fill>
    </dxf>
    <dxf>
      <font>
        <b val="0"/>
        <i val="0"/>
        <color auto="1"/>
      </font>
      <fill>
        <patternFill>
          <bgColor rgb="FFACCFD7"/>
        </patternFill>
      </fill>
    </dxf>
    <dxf>
      <font>
        <color auto="1"/>
      </font>
      <fill>
        <patternFill>
          <bgColor rgb="FFF1CFB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393700</xdr:colOff>
          <xdr:row>0</xdr:row>
          <xdr:rowOff>63500</xdr:rowOff>
        </xdr:from>
        <xdr:to>
          <xdr:col>1</xdr:col>
          <xdr:colOff>139700</xdr:colOff>
          <xdr:row>1</xdr:row>
          <xdr:rowOff>152400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19BBB752-2A9A-1C42-95DE-18D3057031A4}"/>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Default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139700</xdr:colOff>
          <xdr:row>0</xdr:row>
          <xdr:rowOff>76200</xdr:rowOff>
        </xdr:from>
        <xdr:to>
          <xdr:col>6</xdr:col>
          <xdr:colOff>711200</xdr:colOff>
          <xdr:row>1</xdr:row>
          <xdr:rowOff>165100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BABA8C4E-96D8-4640-92F6-3889354A0E49}"/>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000" b="0" i="0" u="none" strike="noStrike" baseline="0">
                  <a:solidFill>
                    <a:srgbClr val="000000"/>
                  </a:solidFill>
                  <a:latin typeface="Arial" pitchFamily="2" charset="0"/>
                  <a:cs typeface="Arial" pitchFamily="2" charset="0"/>
                </a:rPr>
                <a:t>Default</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madisonlee/Documents/GitHub/solution-ThirdPartyRisk/assets/data/SIG_BLANK_test.xlsm" TargetMode="External"/><Relationship Id="rId1" Type="http://schemas.openxmlformats.org/officeDocument/2006/relationships/externalLinkPath" Target="SIG_BLANK_tes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yright"/>
      <sheetName val="Instructions"/>
      <sheetName val="Dashboard"/>
      <sheetName val="Business Information"/>
      <sheetName val="Documentation"/>
      <sheetName val="A. Enterprise Risk Management"/>
      <sheetName val="B. Nth Party Management"/>
      <sheetName val="C. Information Assurance"/>
      <sheetName val="D. Asset and Info Management"/>
      <sheetName val="E. Human Resources Security"/>
      <sheetName val="F. Phys and Env Security"/>
      <sheetName val="G. IT Operations Management"/>
      <sheetName val="H. Access Control"/>
      <sheetName val="I. Application Management"/>
      <sheetName val="J. Cybersecurity Incident Mgmt"/>
      <sheetName val="K. Operational Resilience"/>
      <sheetName val="L. Compliance Management"/>
      <sheetName val="M. Endpoint Security"/>
      <sheetName val="N. Network Security"/>
      <sheetName val="O. Environ, Social, Gov (ESG)"/>
      <sheetName val="P. Privacy Management"/>
      <sheetName val="R. Artificial Intelligence"/>
      <sheetName val="S. Supply Chain Risk Mgmt"/>
      <sheetName val="T. Threat Management"/>
      <sheetName val="U. Server Security"/>
      <sheetName val="V. Cloud Services"/>
      <sheetName val="Z. Additional Questions"/>
      <sheetName val="SIG 2024"/>
      <sheetName val="Glossary"/>
      <sheetName val="Formula Notes"/>
      <sheetName val="Drops"/>
      <sheetName val="Full"/>
      <sheetName val="SIG Manager Instructions"/>
      <sheetName val="SIG Manager"/>
      <sheetName val="Content Library"/>
      <sheetName val="Common Options"/>
      <sheetName val="Question Formulas"/>
      <sheetName val="FunctionDrops"/>
      <sheetName val="TemplateSave"/>
      <sheetName val="SMT Drops"/>
      <sheetName val="Log"/>
    </sheetNames>
    <definedNames>
      <definedName name="Sheet92.ImportanceReset"/>
      <definedName name="Sheet92.IncludeExcludeReset"/>
      <definedName name="Sheet92.JumpT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3">
          <cell r="G3" t="str">
            <v>A.1</v>
          </cell>
        </row>
        <row r="4">
          <cell r="G4" t="str">
            <v>A.1.1</v>
          </cell>
        </row>
        <row r="5">
          <cell r="G5" t="str">
            <v>A.1.2</v>
          </cell>
        </row>
        <row r="6">
          <cell r="G6" t="str">
            <v>A.1.2.1</v>
          </cell>
        </row>
        <row r="7">
          <cell r="G7" t="str">
            <v>A.1.2.2</v>
          </cell>
        </row>
        <row r="8">
          <cell r="G8" t="str">
            <v>A.1.3</v>
          </cell>
        </row>
        <row r="9">
          <cell r="G9" t="str">
            <v>A.1.4</v>
          </cell>
        </row>
        <row r="10">
          <cell r="G10" t="str">
            <v>A.1.5</v>
          </cell>
        </row>
        <row r="11">
          <cell r="G11" t="str">
            <v>A.1.5.1</v>
          </cell>
        </row>
        <row r="12">
          <cell r="G12" t="str">
            <v>A.1.6</v>
          </cell>
        </row>
      </sheetData>
      <sheetData sheetId="37" refreshError="1"/>
      <sheetData sheetId="38" refreshError="1"/>
      <sheetData sheetId="39">
        <row r="2">
          <cell r="A2" t="str">
            <v>From Scoping</v>
          </cell>
        </row>
        <row r="3">
          <cell r="A3" t="str">
            <v>Include</v>
          </cell>
        </row>
        <row r="4">
          <cell r="A4" t="str">
            <v>Exclude</v>
          </cell>
        </row>
      </sheetData>
      <sheetData sheetId="4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AD3DE-6BF6-534A-9665-6B42370FC9CC}">
  <dimension ref="A1:BC11"/>
  <sheetViews>
    <sheetView tabSelected="1" workbookViewId="0">
      <selection activeCell="I2" sqref="I2"/>
    </sheetView>
  </sheetViews>
  <sheetFormatPr baseColWidth="10" defaultRowHeight="16" x14ac:dyDescent="0.2"/>
  <sheetData>
    <row r="1" spans="1:55" ht="112" x14ac:dyDescent="0.2">
      <c r="A1" s="1" t="s">
        <v>0</v>
      </c>
      <c r="B1" s="2" t="s">
        <v>1</v>
      </c>
      <c r="C1" s="3" t="s">
        <v>2</v>
      </c>
      <c r="D1" s="4" t="s">
        <v>3</v>
      </c>
      <c r="E1" s="3" t="s">
        <v>4</v>
      </c>
      <c r="F1" s="3" t="s">
        <v>5</v>
      </c>
      <c r="G1" s="3" t="s">
        <v>6</v>
      </c>
      <c r="H1" s="3" t="s">
        <v>7</v>
      </c>
      <c r="I1" s="5" t="s">
        <v>8</v>
      </c>
      <c r="J1" s="3" t="s">
        <v>9</v>
      </c>
      <c r="K1" s="6" t="s">
        <v>10</v>
      </c>
      <c r="L1" s="7" t="s">
        <v>11</v>
      </c>
      <c r="M1" s="3" t="s">
        <v>12</v>
      </c>
      <c r="N1" s="5" t="s">
        <v>13</v>
      </c>
      <c r="O1" s="5" t="s">
        <v>14</v>
      </c>
      <c r="P1" s="5" t="s">
        <v>15</v>
      </c>
      <c r="Q1" s="5" t="s">
        <v>16</v>
      </c>
      <c r="R1" s="5" t="s">
        <v>17</v>
      </c>
      <c r="S1" s="5" t="s">
        <v>18</v>
      </c>
      <c r="T1" s="5" t="s">
        <v>19</v>
      </c>
      <c r="U1" s="5" t="s">
        <v>20</v>
      </c>
      <c r="V1" s="5" t="s">
        <v>21</v>
      </c>
      <c r="W1" s="5" t="s">
        <v>22</v>
      </c>
      <c r="X1" s="8" t="s">
        <v>23</v>
      </c>
      <c r="Y1" s="5" t="s">
        <v>24</v>
      </c>
      <c r="Z1" s="5" t="s">
        <v>25</v>
      </c>
      <c r="AA1" s="5" t="s">
        <v>26</v>
      </c>
      <c r="AB1" s="5" t="s">
        <v>27</v>
      </c>
      <c r="AC1" s="5" t="s">
        <v>28</v>
      </c>
      <c r="AD1" s="9" t="s">
        <v>29</v>
      </c>
      <c r="AE1" s="10" t="s">
        <v>30</v>
      </c>
      <c r="AF1" s="5" t="s">
        <v>31</v>
      </c>
      <c r="AG1" s="5" t="s">
        <v>32</v>
      </c>
      <c r="AH1" s="5" t="s">
        <v>33</v>
      </c>
      <c r="AI1" s="5" t="s">
        <v>34</v>
      </c>
      <c r="AJ1" s="3" t="s">
        <v>35</v>
      </c>
      <c r="AK1" s="3" t="s">
        <v>36</v>
      </c>
      <c r="AL1" s="3" t="s">
        <v>37</v>
      </c>
      <c r="AM1" s="3" t="s">
        <v>38</v>
      </c>
      <c r="AN1" s="3" t="s">
        <v>39</v>
      </c>
      <c r="AO1" s="3" t="s">
        <v>40</v>
      </c>
      <c r="AP1" s="3" t="s">
        <v>41</v>
      </c>
      <c r="AQ1" s="11" t="s">
        <v>42</v>
      </c>
      <c r="AR1" s="11" t="s">
        <v>43</v>
      </c>
      <c r="AS1" s="11" t="s">
        <v>44</v>
      </c>
      <c r="AT1" s="12" t="s">
        <v>45</v>
      </c>
      <c r="AU1" s="11" t="s">
        <v>46</v>
      </c>
      <c r="AV1" s="11" t="s">
        <v>47</v>
      </c>
      <c r="AW1" s="11" t="s">
        <v>48</v>
      </c>
      <c r="AX1" s="11" t="s">
        <v>49</v>
      </c>
      <c r="AY1" s="11" t="s">
        <v>50</v>
      </c>
      <c r="AZ1" s="11" t="s">
        <v>51</v>
      </c>
      <c r="BA1" s="11" t="s">
        <v>52</v>
      </c>
      <c r="BB1" s="13" t="s">
        <v>53</v>
      </c>
      <c r="BC1" s="13" t="s">
        <v>54</v>
      </c>
    </row>
    <row r="2" spans="1:55" ht="409.6" x14ac:dyDescent="0.2">
      <c r="A2" s="14" t="s">
        <v>55</v>
      </c>
      <c r="B2" s="15">
        <v>5643</v>
      </c>
      <c r="C2" s="16" t="str">
        <f>'[1]Question Formulas'!G3</f>
        <v>A.1</v>
      </c>
      <c r="D2" s="17" t="s">
        <v>56</v>
      </c>
      <c r="E2" s="14"/>
      <c r="F2" s="14"/>
      <c r="G2" s="14"/>
      <c r="H2" s="18" t="s">
        <v>57</v>
      </c>
      <c r="I2" s="18" t="s">
        <v>58</v>
      </c>
      <c r="J2" s="19" t="str">
        <f t="shared" ref="J2:J11" si="0">IF($L2=1,"Filter",IF($L2=2,"Lite",IF($L2=3,"Core",IF($L2=4,"Detail","Error"))))</f>
        <v>Lite</v>
      </c>
      <c r="K2" s="20">
        <v>1</v>
      </c>
      <c r="L2" s="20">
        <v>2</v>
      </c>
      <c r="M2" s="18" t="s">
        <v>59</v>
      </c>
      <c r="N2" s="14"/>
      <c r="O2" s="14"/>
      <c r="P2" s="20"/>
      <c r="Q2" s="17" t="s">
        <v>60</v>
      </c>
      <c r="R2" s="14"/>
      <c r="S2" s="14"/>
      <c r="T2" s="21" t="s">
        <v>61</v>
      </c>
      <c r="U2" s="21" t="s">
        <v>62</v>
      </c>
      <c r="V2" s="21" t="s">
        <v>63</v>
      </c>
      <c r="W2" s="21" t="s">
        <v>64</v>
      </c>
      <c r="X2" s="20" t="s">
        <v>65</v>
      </c>
      <c r="Y2" s="15" t="s">
        <v>66</v>
      </c>
      <c r="Z2" s="18" t="s">
        <v>67</v>
      </c>
      <c r="AA2" s="18" t="s">
        <v>59</v>
      </c>
      <c r="AB2" s="18" t="s">
        <v>59</v>
      </c>
      <c r="AC2" s="18" t="s">
        <v>59</v>
      </c>
      <c r="AD2" s="18" t="s">
        <v>59</v>
      </c>
      <c r="AE2" s="18" t="s">
        <v>59</v>
      </c>
      <c r="AF2" s="18" t="s">
        <v>68</v>
      </c>
      <c r="AG2" s="18" t="s">
        <v>69</v>
      </c>
      <c r="AH2" s="18" t="s">
        <v>70</v>
      </c>
      <c r="AI2" s="18" t="s">
        <v>59</v>
      </c>
      <c r="AJ2" s="18" t="s">
        <v>59</v>
      </c>
      <c r="AK2" s="18" t="s">
        <v>71</v>
      </c>
      <c r="AL2" s="18" t="s">
        <v>59</v>
      </c>
      <c r="AM2" s="18" t="s">
        <v>59</v>
      </c>
      <c r="AN2" s="18" t="s">
        <v>72</v>
      </c>
      <c r="AO2" s="18" t="s">
        <v>59</v>
      </c>
      <c r="AP2" s="18" t="s">
        <v>73</v>
      </c>
      <c r="AQ2" s="18" t="s">
        <v>59</v>
      </c>
      <c r="AR2" s="18" t="s">
        <v>74</v>
      </c>
      <c r="AS2" s="18" t="s">
        <v>75</v>
      </c>
      <c r="AT2" s="22" t="s">
        <v>76</v>
      </c>
      <c r="AU2" s="18" t="s">
        <v>77</v>
      </c>
      <c r="AV2" s="18" t="s">
        <v>78</v>
      </c>
      <c r="AW2" s="18" t="s">
        <v>79</v>
      </c>
      <c r="AX2" s="18" t="s">
        <v>59</v>
      </c>
      <c r="AY2" s="18" t="s">
        <v>59</v>
      </c>
      <c r="AZ2" s="18" t="s">
        <v>80</v>
      </c>
      <c r="BA2" s="18" t="s">
        <v>59</v>
      </c>
      <c r="BB2" s="23"/>
      <c r="BC2" s="23"/>
    </row>
    <row r="3" spans="1:55" ht="409.6" x14ac:dyDescent="0.2">
      <c r="A3" s="14" t="s">
        <v>55</v>
      </c>
      <c r="B3" s="15">
        <v>2325</v>
      </c>
      <c r="C3" s="16" t="str">
        <f>'[1]Question Formulas'!G4</f>
        <v>A.1.1</v>
      </c>
      <c r="D3" s="17" t="s">
        <v>81</v>
      </c>
      <c r="E3" s="14"/>
      <c r="F3" s="14"/>
      <c r="G3" s="14"/>
      <c r="H3" s="18" t="s">
        <v>57</v>
      </c>
      <c r="I3" s="18" t="s">
        <v>58</v>
      </c>
      <c r="J3" s="19" t="str">
        <f t="shared" si="0"/>
        <v>Core</v>
      </c>
      <c r="K3" s="20">
        <v>2</v>
      </c>
      <c r="L3" s="20">
        <v>3</v>
      </c>
      <c r="M3" s="18" t="s">
        <v>59</v>
      </c>
      <c r="N3" s="14"/>
      <c r="O3" s="14"/>
      <c r="P3" s="20" t="s">
        <v>65</v>
      </c>
      <c r="Q3" s="17" t="s">
        <v>60</v>
      </c>
      <c r="R3" s="14"/>
      <c r="S3" s="14"/>
      <c r="T3" s="21" t="s">
        <v>61</v>
      </c>
      <c r="U3" s="21" t="s">
        <v>62</v>
      </c>
      <c r="V3" s="21" t="s">
        <v>63</v>
      </c>
      <c r="W3" s="21" t="s">
        <v>64</v>
      </c>
      <c r="X3" s="20" t="s">
        <v>65</v>
      </c>
      <c r="Y3" s="15" t="s">
        <v>66</v>
      </c>
      <c r="Z3" s="18" t="s">
        <v>82</v>
      </c>
      <c r="AA3" s="18" t="s">
        <v>59</v>
      </c>
      <c r="AB3" s="18" t="s">
        <v>59</v>
      </c>
      <c r="AC3" s="18" t="s">
        <v>59</v>
      </c>
      <c r="AD3" s="18" t="s">
        <v>59</v>
      </c>
      <c r="AE3" s="18" t="s">
        <v>59</v>
      </c>
      <c r="AF3" s="18" t="s">
        <v>68</v>
      </c>
      <c r="AG3" s="18" t="s">
        <v>83</v>
      </c>
      <c r="AH3" s="18" t="s">
        <v>70</v>
      </c>
      <c r="AI3" s="18" t="s">
        <v>59</v>
      </c>
      <c r="AJ3" s="18" t="s">
        <v>59</v>
      </c>
      <c r="AK3" s="18" t="s">
        <v>84</v>
      </c>
      <c r="AL3" s="18" t="s">
        <v>59</v>
      </c>
      <c r="AM3" s="18" t="s">
        <v>59</v>
      </c>
      <c r="AN3" s="18" t="s">
        <v>85</v>
      </c>
      <c r="AO3" s="18" t="s">
        <v>86</v>
      </c>
      <c r="AP3" s="18" t="s">
        <v>87</v>
      </c>
      <c r="AQ3" s="18" t="s">
        <v>59</v>
      </c>
      <c r="AR3" s="18" t="s">
        <v>88</v>
      </c>
      <c r="AS3" s="18" t="s">
        <v>59</v>
      </c>
      <c r="AT3" s="22" t="s">
        <v>76</v>
      </c>
      <c r="AU3" s="18" t="s">
        <v>89</v>
      </c>
      <c r="AV3" s="18" t="s">
        <v>78</v>
      </c>
      <c r="AW3" s="18" t="s">
        <v>79</v>
      </c>
      <c r="AX3" s="18" t="s">
        <v>59</v>
      </c>
      <c r="AY3" s="18" t="s">
        <v>59</v>
      </c>
      <c r="AZ3" s="18" t="s">
        <v>59</v>
      </c>
      <c r="BA3" s="18" t="s">
        <v>59</v>
      </c>
      <c r="BB3" s="23"/>
      <c r="BC3" s="23"/>
    </row>
    <row r="4" spans="1:55" ht="409.6" x14ac:dyDescent="0.2">
      <c r="A4" s="14" t="s">
        <v>55</v>
      </c>
      <c r="B4" s="15">
        <v>2326</v>
      </c>
      <c r="C4" s="16" t="str">
        <f>'[1]Question Formulas'!G5</f>
        <v>A.1.2</v>
      </c>
      <c r="D4" s="17" t="s">
        <v>90</v>
      </c>
      <c r="E4" s="14"/>
      <c r="F4" s="14"/>
      <c r="G4" s="14"/>
      <c r="H4" s="18" t="s">
        <v>57</v>
      </c>
      <c r="I4" s="18" t="s">
        <v>91</v>
      </c>
      <c r="J4" s="19" t="str">
        <f t="shared" si="0"/>
        <v>Core</v>
      </c>
      <c r="K4" s="20">
        <v>2</v>
      </c>
      <c r="L4" s="20">
        <v>3</v>
      </c>
      <c r="M4" s="18" t="s">
        <v>59</v>
      </c>
      <c r="N4" s="14"/>
      <c r="O4" s="14"/>
      <c r="P4" s="20" t="s">
        <v>65</v>
      </c>
      <c r="Q4" s="17" t="s">
        <v>60</v>
      </c>
      <c r="R4" s="14"/>
      <c r="S4" s="14"/>
      <c r="T4" s="21" t="s">
        <v>61</v>
      </c>
      <c r="U4" s="21" t="s">
        <v>62</v>
      </c>
      <c r="V4" s="21" t="s">
        <v>63</v>
      </c>
      <c r="W4" s="21" t="s">
        <v>64</v>
      </c>
      <c r="X4" s="20" t="s">
        <v>65</v>
      </c>
      <c r="Y4" s="15" t="s">
        <v>66</v>
      </c>
      <c r="Z4" s="18" t="s">
        <v>82</v>
      </c>
      <c r="AA4" s="18" t="s">
        <v>59</v>
      </c>
      <c r="AB4" s="18" t="s">
        <v>59</v>
      </c>
      <c r="AC4" s="18" t="s">
        <v>59</v>
      </c>
      <c r="AD4" s="18" t="s">
        <v>59</v>
      </c>
      <c r="AE4" s="18" t="s">
        <v>59</v>
      </c>
      <c r="AF4" s="18" t="s">
        <v>92</v>
      </c>
      <c r="AG4" s="18" t="s">
        <v>93</v>
      </c>
      <c r="AH4" s="18" t="s">
        <v>94</v>
      </c>
      <c r="AI4" s="18" t="s">
        <v>59</v>
      </c>
      <c r="AJ4" s="18" t="s">
        <v>59</v>
      </c>
      <c r="AK4" s="18" t="s">
        <v>95</v>
      </c>
      <c r="AL4" s="18" t="s">
        <v>59</v>
      </c>
      <c r="AM4" s="18" t="s">
        <v>59</v>
      </c>
      <c r="AN4" s="18" t="s">
        <v>59</v>
      </c>
      <c r="AO4" s="18" t="s">
        <v>96</v>
      </c>
      <c r="AP4" s="18" t="s">
        <v>97</v>
      </c>
      <c r="AQ4" s="18" t="s">
        <v>59</v>
      </c>
      <c r="AR4" s="18" t="s">
        <v>98</v>
      </c>
      <c r="AS4" s="18" t="s">
        <v>59</v>
      </c>
      <c r="AT4" s="22" t="s">
        <v>76</v>
      </c>
      <c r="AU4" s="18" t="s">
        <v>59</v>
      </c>
      <c r="AV4" s="18" t="s">
        <v>99</v>
      </c>
      <c r="AW4" s="18" t="s">
        <v>100</v>
      </c>
      <c r="AX4" s="18" t="s">
        <v>59</v>
      </c>
      <c r="AY4" s="18" t="s">
        <v>59</v>
      </c>
      <c r="AZ4" s="18" t="s">
        <v>59</v>
      </c>
      <c r="BA4" s="18" t="s">
        <v>59</v>
      </c>
      <c r="BB4" s="23"/>
      <c r="BC4" s="23"/>
    </row>
    <row r="5" spans="1:55" ht="409.6" x14ac:dyDescent="0.2">
      <c r="A5" s="14" t="s">
        <v>55</v>
      </c>
      <c r="B5" s="15">
        <v>2420</v>
      </c>
      <c r="C5" s="16" t="str">
        <f>'[1]Question Formulas'!G6</f>
        <v>A.1.2.1</v>
      </c>
      <c r="D5" s="17" t="s">
        <v>101</v>
      </c>
      <c r="E5" s="14"/>
      <c r="F5" s="14"/>
      <c r="G5" s="14"/>
      <c r="H5" s="18" t="s">
        <v>57</v>
      </c>
      <c r="I5" s="18" t="s">
        <v>91</v>
      </c>
      <c r="J5" s="19" t="str">
        <f t="shared" si="0"/>
        <v>Detail</v>
      </c>
      <c r="K5" s="20">
        <v>3</v>
      </c>
      <c r="L5" s="20">
        <v>4</v>
      </c>
      <c r="M5" s="18" t="s">
        <v>102</v>
      </c>
      <c r="N5" s="14"/>
      <c r="O5" s="14"/>
      <c r="P5" s="20" t="s">
        <v>65</v>
      </c>
      <c r="Q5" s="17" t="s">
        <v>60</v>
      </c>
      <c r="R5" s="14"/>
      <c r="S5" s="14"/>
      <c r="T5" s="21" t="s">
        <v>61</v>
      </c>
      <c r="U5" s="21" t="s">
        <v>62</v>
      </c>
      <c r="V5" s="21" t="s">
        <v>63</v>
      </c>
      <c r="W5" s="21" t="s">
        <v>64</v>
      </c>
      <c r="X5" s="20" t="s">
        <v>65</v>
      </c>
      <c r="Y5" s="15" t="s">
        <v>66</v>
      </c>
      <c r="Z5" s="18" t="s">
        <v>103</v>
      </c>
      <c r="AA5" s="18" t="s">
        <v>59</v>
      </c>
      <c r="AB5" s="18" t="s">
        <v>59</v>
      </c>
      <c r="AC5" s="18" t="s">
        <v>59</v>
      </c>
      <c r="AD5" s="18" t="s">
        <v>59</v>
      </c>
      <c r="AE5" s="18" t="s">
        <v>59</v>
      </c>
      <c r="AF5" s="18" t="s">
        <v>104</v>
      </c>
      <c r="AG5" s="18" t="s">
        <v>105</v>
      </c>
      <c r="AH5" s="18" t="s">
        <v>59</v>
      </c>
      <c r="AI5" s="18" t="s">
        <v>59</v>
      </c>
      <c r="AJ5" s="18" t="s">
        <v>59</v>
      </c>
      <c r="AK5" s="18" t="s">
        <v>106</v>
      </c>
      <c r="AL5" s="18" t="s">
        <v>59</v>
      </c>
      <c r="AM5" s="18" t="s">
        <v>59</v>
      </c>
      <c r="AN5" s="18" t="s">
        <v>59</v>
      </c>
      <c r="AO5" s="18" t="s">
        <v>107</v>
      </c>
      <c r="AP5" s="18" t="s">
        <v>108</v>
      </c>
      <c r="AQ5" s="18" t="s">
        <v>109</v>
      </c>
      <c r="AR5" s="18" t="s">
        <v>98</v>
      </c>
      <c r="AS5" s="18" t="s">
        <v>110</v>
      </c>
      <c r="AT5" s="22" t="s">
        <v>76</v>
      </c>
      <c r="AU5" s="18" t="s">
        <v>111</v>
      </c>
      <c r="AV5" s="18" t="s">
        <v>59</v>
      </c>
      <c r="AW5" s="18" t="s">
        <v>59</v>
      </c>
      <c r="AX5" s="18" t="s">
        <v>59</v>
      </c>
      <c r="AY5" s="18" t="s">
        <v>112</v>
      </c>
      <c r="AZ5" s="18" t="s">
        <v>59</v>
      </c>
      <c r="BA5" s="18" t="s">
        <v>59</v>
      </c>
      <c r="BB5" s="23"/>
      <c r="BC5" s="23"/>
    </row>
    <row r="6" spans="1:55" ht="409.6" x14ac:dyDescent="0.2">
      <c r="A6" s="14" t="s">
        <v>55</v>
      </c>
      <c r="B6" s="15">
        <v>2429</v>
      </c>
      <c r="C6" s="16" t="str">
        <f>'[1]Question Formulas'!G7</f>
        <v>A.1.2.2</v>
      </c>
      <c r="D6" s="17" t="s">
        <v>113</v>
      </c>
      <c r="E6" s="14"/>
      <c r="F6" s="14"/>
      <c r="G6" s="14"/>
      <c r="H6" s="18" t="s">
        <v>57</v>
      </c>
      <c r="I6" s="18" t="s">
        <v>91</v>
      </c>
      <c r="J6" s="19" t="str">
        <f t="shared" si="0"/>
        <v>Detail</v>
      </c>
      <c r="K6" s="20">
        <v>3</v>
      </c>
      <c r="L6" s="20">
        <v>4</v>
      </c>
      <c r="M6" s="18" t="s">
        <v>102</v>
      </c>
      <c r="N6" s="14"/>
      <c r="O6" s="14"/>
      <c r="P6" s="20" t="s">
        <v>65</v>
      </c>
      <c r="Q6" s="17" t="s">
        <v>60</v>
      </c>
      <c r="R6" s="14"/>
      <c r="S6" s="14"/>
      <c r="T6" s="21" t="s">
        <v>61</v>
      </c>
      <c r="U6" s="21" t="s">
        <v>62</v>
      </c>
      <c r="V6" s="21" t="s">
        <v>63</v>
      </c>
      <c r="W6" s="21" t="s">
        <v>114</v>
      </c>
      <c r="X6" s="20" t="s">
        <v>65</v>
      </c>
      <c r="Y6" s="15" t="s">
        <v>66</v>
      </c>
      <c r="Z6" s="18" t="s">
        <v>67</v>
      </c>
      <c r="AA6" s="18" t="s">
        <v>59</v>
      </c>
      <c r="AB6" s="18" t="s">
        <v>115</v>
      </c>
      <c r="AC6" s="18" t="s">
        <v>59</v>
      </c>
      <c r="AD6" s="18" t="s">
        <v>59</v>
      </c>
      <c r="AE6" s="18" t="s">
        <v>59</v>
      </c>
      <c r="AF6" s="18" t="s">
        <v>116</v>
      </c>
      <c r="AG6" s="18" t="s">
        <v>117</v>
      </c>
      <c r="AH6" s="18" t="s">
        <v>118</v>
      </c>
      <c r="AI6" s="18" t="s">
        <v>59</v>
      </c>
      <c r="AJ6" s="18" t="s">
        <v>59</v>
      </c>
      <c r="AK6" s="18" t="s">
        <v>119</v>
      </c>
      <c r="AL6" s="18" t="s">
        <v>59</v>
      </c>
      <c r="AM6" s="18" t="s">
        <v>59</v>
      </c>
      <c r="AN6" s="18" t="s">
        <v>59</v>
      </c>
      <c r="AO6" s="18" t="s">
        <v>120</v>
      </c>
      <c r="AP6" s="18" t="s">
        <v>121</v>
      </c>
      <c r="AQ6" s="18" t="s">
        <v>122</v>
      </c>
      <c r="AR6" s="18" t="s">
        <v>123</v>
      </c>
      <c r="AS6" s="18" t="s">
        <v>59</v>
      </c>
      <c r="AT6" s="22">
        <v>164.30600000000001</v>
      </c>
      <c r="AU6" s="18" t="s">
        <v>59</v>
      </c>
      <c r="AV6" s="18" t="s">
        <v>59</v>
      </c>
      <c r="AW6" s="18" t="s">
        <v>59</v>
      </c>
      <c r="AX6" s="18" t="s">
        <v>59</v>
      </c>
      <c r="AY6" s="18" t="s">
        <v>59</v>
      </c>
      <c r="AZ6" s="18" t="s">
        <v>124</v>
      </c>
      <c r="BA6" s="18" t="s">
        <v>59</v>
      </c>
      <c r="BB6" s="23"/>
      <c r="BC6" s="23"/>
    </row>
    <row r="7" spans="1:55" ht="409.6" x14ac:dyDescent="0.2">
      <c r="A7" s="14" t="s">
        <v>55</v>
      </c>
      <c r="B7" s="15">
        <v>6415</v>
      </c>
      <c r="C7" s="16" t="str">
        <f>'[1]Question Formulas'!G8</f>
        <v>A.1.3</v>
      </c>
      <c r="D7" s="17" t="s">
        <v>125</v>
      </c>
      <c r="E7" s="14"/>
      <c r="F7" s="14"/>
      <c r="G7" s="14"/>
      <c r="H7" s="18" t="s">
        <v>57</v>
      </c>
      <c r="I7" s="18" t="s">
        <v>126</v>
      </c>
      <c r="J7" s="19" t="str">
        <f t="shared" si="0"/>
        <v>Core</v>
      </c>
      <c r="K7" s="20">
        <v>2</v>
      </c>
      <c r="L7" s="20">
        <v>3</v>
      </c>
      <c r="M7" s="18" t="s">
        <v>59</v>
      </c>
      <c r="N7" s="14"/>
      <c r="O7" s="14"/>
      <c r="P7" s="20" t="s">
        <v>65</v>
      </c>
      <c r="Q7" s="17" t="s">
        <v>60</v>
      </c>
      <c r="R7" s="14"/>
      <c r="S7" s="14"/>
      <c r="T7" s="21" t="s">
        <v>61</v>
      </c>
      <c r="U7" s="21" t="s">
        <v>62</v>
      </c>
      <c r="V7" s="21" t="s">
        <v>63</v>
      </c>
      <c r="W7" s="21" t="s">
        <v>127</v>
      </c>
      <c r="X7" s="20" t="s">
        <v>65</v>
      </c>
      <c r="Y7" s="15" t="s">
        <v>66</v>
      </c>
      <c r="Z7" s="18" t="s">
        <v>128</v>
      </c>
      <c r="AA7" s="18" t="s">
        <v>59</v>
      </c>
      <c r="AB7" s="18" t="s">
        <v>59</v>
      </c>
      <c r="AC7" s="18" t="s">
        <v>59</v>
      </c>
      <c r="AD7" s="18" t="s">
        <v>59</v>
      </c>
      <c r="AE7" s="18" t="s">
        <v>59</v>
      </c>
      <c r="AF7" s="18" t="s">
        <v>59</v>
      </c>
      <c r="AG7" s="18" t="s">
        <v>59</v>
      </c>
      <c r="AH7" s="18" t="s">
        <v>70</v>
      </c>
      <c r="AI7" s="18" t="s">
        <v>59</v>
      </c>
      <c r="AJ7" s="18" t="s">
        <v>59</v>
      </c>
      <c r="AK7" s="18" t="s">
        <v>129</v>
      </c>
      <c r="AL7" s="18" t="s">
        <v>59</v>
      </c>
      <c r="AM7" s="18" t="s">
        <v>59</v>
      </c>
      <c r="AN7" s="18" t="s">
        <v>59</v>
      </c>
      <c r="AO7" s="18" t="s">
        <v>59</v>
      </c>
      <c r="AP7" s="18" t="s">
        <v>130</v>
      </c>
      <c r="AQ7" s="18" t="s">
        <v>59</v>
      </c>
      <c r="AR7" s="18" t="s">
        <v>131</v>
      </c>
      <c r="AS7" s="18" t="s">
        <v>59</v>
      </c>
      <c r="AT7" s="22" t="s">
        <v>59</v>
      </c>
      <c r="AU7" s="18" t="s">
        <v>59</v>
      </c>
      <c r="AV7" s="18" t="s">
        <v>132</v>
      </c>
      <c r="AW7" s="18" t="s">
        <v>133</v>
      </c>
      <c r="AX7" s="18" t="s">
        <v>59</v>
      </c>
      <c r="AY7" s="18" t="s">
        <v>59</v>
      </c>
      <c r="AZ7" s="18" t="s">
        <v>59</v>
      </c>
      <c r="BA7" s="18" t="s">
        <v>59</v>
      </c>
      <c r="BB7" s="23"/>
      <c r="BC7" s="23"/>
    </row>
    <row r="8" spans="1:55" ht="409.6" x14ac:dyDescent="0.2">
      <c r="A8" s="14" t="s">
        <v>55</v>
      </c>
      <c r="B8" s="15">
        <v>4635</v>
      </c>
      <c r="C8" s="16" t="str">
        <f>'[1]Question Formulas'!G9</f>
        <v>A.1.4</v>
      </c>
      <c r="D8" s="17" t="s">
        <v>134</v>
      </c>
      <c r="E8" s="14"/>
      <c r="F8" s="14"/>
      <c r="G8" s="14"/>
      <c r="H8" s="18" t="s">
        <v>57</v>
      </c>
      <c r="I8" s="18" t="s">
        <v>126</v>
      </c>
      <c r="J8" s="19" t="str">
        <f t="shared" si="0"/>
        <v>Core</v>
      </c>
      <c r="K8" s="20">
        <v>2</v>
      </c>
      <c r="L8" s="20">
        <v>3</v>
      </c>
      <c r="M8" s="18" t="s">
        <v>59</v>
      </c>
      <c r="N8" s="14"/>
      <c r="O8" s="14"/>
      <c r="P8" s="20" t="s">
        <v>65</v>
      </c>
      <c r="Q8" s="17" t="s">
        <v>60</v>
      </c>
      <c r="R8" s="14"/>
      <c r="S8" s="14"/>
      <c r="T8" s="21" t="s">
        <v>61</v>
      </c>
      <c r="U8" s="21" t="s">
        <v>62</v>
      </c>
      <c r="V8" s="21" t="s">
        <v>63</v>
      </c>
      <c r="W8" s="21" t="s">
        <v>135</v>
      </c>
      <c r="X8" s="20" t="s">
        <v>65</v>
      </c>
      <c r="Y8" s="15" t="s">
        <v>66</v>
      </c>
      <c r="Z8" s="18" t="s">
        <v>82</v>
      </c>
      <c r="AA8" s="18" t="s">
        <v>59</v>
      </c>
      <c r="AB8" s="18" t="s">
        <v>59</v>
      </c>
      <c r="AC8" s="18" t="s">
        <v>59</v>
      </c>
      <c r="AD8" s="18" t="s">
        <v>59</v>
      </c>
      <c r="AE8" s="18" t="s">
        <v>59</v>
      </c>
      <c r="AF8" s="18" t="s">
        <v>136</v>
      </c>
      <c r="AG8" s="18" t="s">
        <v>137</v>
      </c>
      <c r="AH8" s="18" t="s">
        <v>70</v>
      </c>
      <c r="AI8" s="18" t="s">
        <v>59</v>
      </c>
      <c r="AJ8" s="18" t="s">
        <v>59</v>
      </c>
      <c r="AK8" s="18" t="s">
        <v>138</v>
      </c>
      <c r="AL8" s="18" t="s">
        <v>59</v>
      </c>
      <c r="AM8" s="18" t="s">
        <v>59</v>
      </c>
      <c r="AN8" s="18" t="s">
        <v>59</v>
      </c>
      <c r="AO8" s="18" t="s">
        <v>59</v>
      </c>
      <c r="AP8" s="18" t="s">
        <v>139</v>
      </c>
      <c r="AQ8" s="18" t="s">
        <v>59</v>
      </c>
      <c r="AR8" s="18" t="s">
        <v>140</v>
      </c>
      <c r="AS8" s="18" t="s">
        <v>59</v>
      </c>
      <c r="AT8" s="22">
        <v>164.30600000000001</v>
      </c>
      <c r="AU8" s="18" t="s">
        <v>59</v>
      </c>
      <c r="AV8" s="18" t="s">
        <v>78</v>
      </c>
      <c r="AW8" s="18" t="s">
        <v>79</v>
      </c>
      <c r="AX8" s="18" t="s">
        <v>59</v>
      </c>
      <c r="AY8" s="18" t="s">
        <v>59</v>
      </c>
      <c r="AZ8" s="18" t="s">
        <v>59</v>
      </c>
      <c r="BA8" s="18" t="s">
        <v>59</v>
      </c>
      <c r="BB8" s="23"/>
      <c r="BC8" s="23"/>
    </row>
    <row r="9" spans="1:55" ht="409.6" x14ac:dyDescent="0.2">
      <c r="A9" s="14" t="s">
        <v>55</v>
      </c>
      <c r="B9" s="15">
        <v>4636</v>
      </c>
      <c r="C9" s="16" t="str">
        <f>'[1]Question Formulas'!G10</f>
        <v>A.1.5</v>
      </c>
      <c r="D9" s="17" t="s">
        <v>141</v>
      </c>
      <c r="E9" s="14"/>
      <c r="F9" s="14"/>
      <c r="G9" s="14"/>
      <c r="H9" s="18" t="s">
        <v>57</v>
      </c>
      <c r="I9" s="18" t="s">
        <v>142</v>
      </c>
      <c r="J9" s="19" t="str">
        <f t="shared" si="0"/>
        <v>Core</v>
      </c>
      <c r="K9" s="20">
        <v>2</v>
      </c>
      <c r="L9" s="20">
        <v>3</v>
      </c>
      <c r="M9" s="18" t="s">
        <v>59</v>
      </c>
      <c r="N9" s="14"/>
      <c r="O9" s="14"/>
      <c r="P9" s="20" t="s">
        <v>65</v>
      </c>
      <c r="Q9" s="17" t="s">
        <v>60</v>
      </c>
      <c r="R9" s="14"/>
      <c r="S9" s="14"/>
      <c r="T9" s="21" t="s">
        <v>61</v>
      </c>
      <c r="U9" s="21" t="s">
        <v>62</v>
      </c>
      <c r="V9" s="21" t="s">
        <v>63</v>
      </c>
      <c r="W9" s="21" t="s">
        <v>143</v>
      </c>
      <c r="X9" s="20" t="s">
        <v>65</v>
      </c>
      <c r="Y9" s="15" t="s">
        <v>66</v>
      </c>
      <c r="Z9" s="18" t="s">
        <v>82</v>
      </c>
      <c r="AA9" s="18" t="s">
        <v>59</v>
      </c>
      <c r="AB9" s="18" t="s">
        <v>59</v>
      </c>
      <c r="AC9" s="18" t="s">
        <v>59</v>
      </c>
      <c r="AD9" s="18" t="s">
        <v>59</v>
      </c>
      <c r="AE9" s="18" t="s">
        <v>59</v>
      </c>
      <c r="AF9" s="18" t="s">
        <v>144</v>
      </c>
      <c r="AG9" s="18" t="s">
        <v>145</v>
      </c>
      <c r="AH9" s="18" t="s">
        <v>146</v>
      </c>
      <c r="AI9" s="18" t="s">
        <v>59</v>
      </c>
      <c r="AJ9" s="18" t="s">
        <v>59</v>
      </c>
      <c r="AK9" s="18" t="s">
        <v>147</v>
      </c>
      <c r="AL9" s="18" t="s">
        <v>59</v>
      </c>
      <c r="AM9" s="18" t="s">
        <v>59</v>
      </c>
      <c r="AN9" s="18" t="s">
        <v>148</v>
      </c>
      <c r="AO9" s="18" t="s">
        <v>59</v>
      </c>
      <c r="AP9" s="18" t="s">
        <v>149</v>
      </c>
      <c r="AQ9" s="18" t="s">
        <v>59</v>
      </c>
      <c r="AR9" s="18" t="s">
        <v>150</v>
      </c>
      <c r="AS9" s="18" t="s">
        <v>59</v>
      </c>
      <c r="AT9" s="22" t="s">
        <v>59</v>
      </c>
      <c r="AU9" s="18" t="s">
        <v>59</v>
      </c>
      <c r="AV9" s="18" t="s">
        <v>59</v>
      </c>
      <c r="AW9" s="18" t="s">
        <v>59</v>
      </c>
      <c r="AX9" s="18" t="s">
        <v>59</v>
      </c>
      <c r="AY9" s="18" t="s">
        <v>59</v>
      </c>
      <c r="AZ9" s="18" t="s">
        <v>59</v>
      </c>
      <c r="BA9" s="18" t="s">
        <v>59</v>
      </c>
      <c r="BB9" s="23"/>
      <c r="BC9" s="23"/>
    </row>
    <row r="10" spans="1:55" ht="409.6" x14ac:dyDescent="0.2">
      <c r="A10" s="14" t="s">
        <v>55</v>
      </c>
      <c r="B10" s="15">
        <v>5837</v>
      </c>
      <c r="C10" s="16" t="str">
        <f>'[1]Question Formulas'!G11</f>
        <v>A.1.5.1</v>
      </c>
      <c r="D10" s="17" t="s">
        <v>151</v>
      </c>
      <c r="E10" s="14"/>
      <c r="F10" s="14"/>
      <c r="G10" s="14"/>
      <c r="H10" s="18" t="s">
        <v>57</v>
      </c>
      <c r="I10" s="18" t="s">
        <v>152</v>
      </c>
      <c r="J10" s="19" t="str">
        <f t="shared" si="0"/>
        <v>Detail</v>
      </c>
      <c r="K10" s="20">
        <v>3</v>
      </c>
      <c r="L10" s="20">
        <v>4</v>
      </c>
      <c r="M10" s="18" t="s">
        <v>59</v>
      </c>
      <c r="N10" s="14"/>
      <c r="O10" s="14"/>
      <c r="P10" s="20" t="s">
        <v>65</v>
      </c>
      <c r="Q10" s="17" t="s">
        <v>60</v>
      </c>
      <c r="R10" s="14"/>
      <c r="S10" s="14"/>
      <c r="T10" s="21" t="s">
        <v>61</v>
      </c>
      <c r="U10" s="21" t="s">
        <v>62</v>
      </c>
      <c r="V10" s="21" t="s">
        <v>63</v>
      </c>
      <c r="W10" s="21" t="s">
        <v>153</v>
      </c>
      <c r="X10" s="20" t="s">
        <v>65</v>
      </c>
      <c r="Y10" s="15" t="s">
        <v>154</v>
      </c>
      <c r="Z10" s="18" t="s">
        <v>155</v>
      </c>
      <c r="AA10" s="18" t="s">
        <v>59</v>
      </c>
      <c r="AB10" s="18" t="s">
        <v>59</v>
      </c>
      <c r="AC10" s="18" t="s">
        <v>59</v>
      </c>
      <c r="AD10" s="18" t="s">
        <v>59</v>
      </c>
      <c r="AE10" s="18" t="s">
        <v>59</v>
      </c>
      <c r="AF10" s="18" t="s">
        <v>156</v>
      </c>
      <c r="AG10" s="18" t="s">
        <v>157</v>
      </c>
      <c r="AH10" s="18" t="s">
        <v>158</v>
      </c>
      <c r="AI10" s="18" t="s">
        <v>59</v>
      </c>
      <c r="AJ10" s="18" t="s">
        <v>59</v>
      </c>
      <c r="AK10" s="18" t="s">
        <v>59</v>
      </c>
      <c r="AL10" s="18" t="s">
        <v>59</v>
      </c>
      <c r="AM10" s="18" t="s">
        <v>59</v>
      </c>
      <c r="AN10" s="18" t="s">
        <v>159</v>
      </c>
      <c r="AO10" s="18" t="s">
        <v>59</v>
      </c>
      <c r="AP10" s="18" t="s">
        <v>160</v>
      </c>
      <c r="AQ10" s="18" t="s">
        <v>59</v>
      </c>
      <c r="AR10" s="18" t="s">
        <v>59</v>
      </c>
      <c r="AS10" s="18" t="s">
        <v>59</v>
      </c>
      <c r="AT10" s="22" t="s">
        <v>59</v>
      </c>
      <c r="AU10" s="18" t="s">
        <v>59</v>
      </c>
      <c r="AV10" s="18" t="s">
        <v>59</v>
      </c>
      <c r="AW10" s="18" t="s">
        <v>59</v>
      </c>
      <c r="AX10" s="18" t="s">
        <v>59</v>
      </c>
      <c r="AY10" s="18" t="s">
        <v>161</v>
      </c>
      <c r="AZ10" s="18" t="s">
        <v>59</v>
      </c>
      <c r="BA10" s="18" t="s">
        <v>59</v>
      </c>
      <c r="BB10" s="23"/>
      <c r="BC10" s="23"/>
    </row>
    <row r="11" spans="1:55" ht="409.6" x14ac:dyDescent="0.2">
      <c r="A11" s="14" t="s">
        <v>55</v>
      </c>
      <c r="B11" s="15">
        <v>5838</v>
      </c>
      <c r="C11" s="16" t="str">
        <f>'[1]Question Formulas'!G12</f>
        <v>A.1.6</v>
      </c>
      <c r="D11" s="17" t="s">
        <v>162</v>
      </c>
      <c r="E11" s="14"/>
      <c r="F11" s="14"/>
      <c r="G11" s="14"/>
      <c r="H11" s="18" t="s">
        <v>57</v>
      </c>
      <c r="I11" s="18" t="s">
        <v>91</v>
      </c>
      <c r="J11" s="19" t="str">
        <f t="shared" si="0"/>
        <v>Core</v>
      </c>
      <c r="K11" s="20">
        <v>2</v>
      </c>
      <c r="L11" s="20">
        <v>3</v>
      </c>
      <c r="M11" s="18" t="s">
        <v>59</v>
      </c>
      <c r="N11" s="14"/>
      <c r="O11" s="14"/>
      <c r="P11" s="20" t="s">
        <v>65</v>
      </c>
      <c r="Q11" s="17" t="s">
        <v>60</v>
      </c>
      <c r="R11" s="14"/>
      <c r="S11" s="14"/>
      <c r="T11" s="21" t="s">
        <v>61</v>
      </c>
      <c r="U11" s="21" t="s">
        <v>62</v>
      </c>
      <c r="V11" s="21" t="s">
        <v>63</v>
      </c>
      <c r="W11" s="21" t="s">
        <v>163</v>
      </c>
      <c r="X11" s="20" t="s">
        <v>65</v>
      </c>
      <c r="Y11" s="15" t="s">
        <v>66</v>
      </c>
      <c r="Z11" s="18" t="s">
        <v>82</v>
      </c>
      <c r="AA11" s="18" t="s">
        <v>59</v>
      </c>
      <c r="AB11" s="18" t="s">
        <v>59</v>
      </c>
      <c r="AC11" s="18" t="s">
        <v>59</v>
      </c>
      <c r="AD11" s="18" t="s">
        <v>59</v>
      </c>
      <c r="AE11" s="18" t="s">
        <v>59</v>
      </c>
      <c r="AF11" s="18" t="s">
        <v>164</v>
      </c>
      <c r="AG11" s="18" t="s">
        <v>165</v>
      </c>
      <c r="AH11" s="18" t="s">
        <v>158</v>
      </c>
      <c r="AI11" s="18" t="s">
        <v>59</v>
      </c>
      <c r="AJ11" s="18" t="s">
        <v>59</v>
      </c>
      <c r="AK11" s="18" t="s">
        <v>59</v>
      </c>
      <c r="AL11" s="18" t="s">
        <v>59</v>
      </c>
      <c r="AM11" s="18" t="s">
        <v>59</v>
      </c>
      <c r="AN11" s="18" t="s">
        <v>85</v>
      </c>
      <c r="AO11" s="18" t="s">
        <v>59</v>
      </c>
      <c r="AP11" s="18" t="s">
        <v>166</v>
      </c>
      <c r="AQ11" s="18" t="s">
        <v>59</v>
      </c>
      <c r="AR11" s="18" t="s">
        <v>59</v>
      </c>
      <c r="AS11" s="18" t="s">
        <v>59</v>
      </c>
      <c r="AT11" s="22" t="s">
        <v>59</v>
      </c>
      <c r="AU11" s="18" t="s">
        <v>59</v>
      </c>
      <c r="AV11" s="18" t="s">
        <v>167</v>
      </c>
      <c r="AW11" s="18" t="s">
        <v>100</v>
      </c>
      <c r="AX11" s="18" t="s">
        <v>59</v>
      </c>
      <c r="AY11" s="18" t="s">
        <v>59</v>
      </c>
      <c r="AZ11" s="18" t="s">
        <v>59</v>
      </c>
      <c r="BA11" s="18" t="s">
        <v>59</v>
      </c>
      <c r="BB11" s="23"/>
      <c r="BC11" s="23"/>
    </row>
  </sheetData>
  <conditionalFormatting sqref="A2:A11">
    <cfRule type="expression" dxfId="4" priority="4">
      <formula>A2="Exclude"</formula>
    </cfRule>
    <cfRule type="expression" dxfId="3" priority="5">
      <formula>A2="Include"</formula>
    </cfRule>
  </conditionalFormatting>
  <conditionalFormatting sqref="E2:E11">
    <cfRule type="expression" dxfId="2" priority="1">
      <formula>E2="N/A"</formula>
    </cfRule>
    <cfRule type="expression" dxfId="1" priority="2">
      <formula>E2="No"</formula>
    </cfRule>
    <cfRule type="expression" dxfId="0" priority="3">
      <formula>E2="Yes"</formula>
    </cfRule>
  </conditionalFormatting>
  <dataValidations count="1">
    <dataValidation type="list" allowBlank="1" showInputMessage="1" showErrorMessage="1" sqref="A2:A11" xr:uid="{251EEE57-199F-D741-81E2-7AE40EB0B40F}">
      <formula1>Include</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1]!Sheet92.IncludeExcludeReset">
                <anchor moveWithCells="1">
                  <from>
                    <xdr:col>0</xdr:col>
                    <xdr:colOff>393700</xdr:colOff>
                    <xdr:row>0</xdr:row>
                    <xdr:rowOff>63500</xdr:rowOff>
                  </from>
                  <to>
                    <xdr:col>1</xdr:col>
                    <xdr:colOff>139700</xdr:colOff>
                    <xdr:row>0</xdr:row>
                    <xdr:rowOff>355600</xdr:rowOff>
                  </to>
                </anchor>
              </controlPr>
            </control>
          </mc:Choice>
        </mc:AlternateContent>
        <mc:AlternateContent xmlns:mc="http://schemas.openxmlformats.org/markup-compatibility/2006">
          <mc:Choice Requires="x14">
            <control shapeId="1027" r:id="rId4" name="Button 3">
              <controlPr defaultSize="0" print="0" autoFill="0" autoPict="0" macro="[1]!Sheet92.ImportanceReset">
                <anchor moveWithCells="1">
                  <from>
                    <xdr:col>6</xdr:col>
                    <xdr:colOff>139700</xdr:colOff>
                    <xdr:row>0</xdr:row>
                    <xdr:rowOff>76200</xdr:rowOff>
                  </from>
                  <to>
                    <xdr:col>6</xdr:col>
                    <xdr:colOff>711200</xdr:colOff>
                    <xdr:row>0</xdr:row>
                    <xdr:rowOff>368300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Content 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Madison Lee</dc:creator>
  <cp:lastModifiedBy>Madison Lee</cp:lastModifiedBy>
  <dcterms:created xsi:type="dcterms:W3CDTF">2024-11-14T14:43:29Z</dcterms:created>
  <dcterms:modified xsi:type="dcterms:W3CDTF">2024-11-14T14:45:52Z</dcterms:modified>
</cp:coreProperties>
</file>